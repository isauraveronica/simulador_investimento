
<file path=[Content_Types].xml><?xml version="1.0" encoding="utf-8"?>
<Types xmlns="http://schemas.openxmlformats.org/package/2006/content-types">
  <Default Extension="rels" ContentType="application/vnd.openxmlformats-package.relationships+xml"/>
  <Default Extension="xlsrvcdf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295A3617-D3E7-427D-802E-53D8280A74B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PP" sheetId="1" r:id="rId1"/>
    <sheet name="Report" sheetId="2" r:id="rId2"/>
  </sheets>
  <definedNames>
    <definedName name="aporte">APP!$D$11:$D$11</definedName>
    <definedName name="qtd_anos">APP!$D$12:$D$12</definedName>
    <definedName name="rendimento_carteira">APP!$D$26:$D$26</definedName>
    <definedName name="salario">APP!$D$25:$D$25</definedName>
    <definedName name="taxa_mensal">APP!$D$13:$D$13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  <c r="D34" i="1" s="1"/>
  <c r="C35" i="1"/>
  <c r="D35" i="1" s="1"/>
  <c r="C36" i="1"/>
  <c r="D36" i="1" s="1"/>
  <c r="C37" i="1"/>
  <c r="D37" i="1" s="1"/>
  <c r="C38" i="1"/>
  <c r="D3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" i="2"/>
  <c r="C33" i="1"/>
  <c r="D33" i="1" s="1"/>
  <c r="D39" i="1" s="1"/>
  <c r="D14" i="1" a="1"/>
  <c r="D14" i="1"/>
  <c r="D27" i="1" a="1"/>
  <c r="D27" i="1"/>
  <c r="D19" i="1"/>
  <c r="D20" i="1"/>
  <c r="D21" i="1"/>
  <c r="D22" i="1"/>
  <c r="D18" i="1"/>
  <c r="C19" i="1"/>
  <c r="C20" i="1"/>
  <c r="C21" i="1"/>
  <c r="C22" i="1"/>
  <c r="C18" i="1"/>
  <c r="D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<sst xmlns="http://schemas.openxmlformats.org/spreadsheetml/2006/main" count="66" uniqueCount="32">
  <si>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</si>
  <si>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</si>
  <si>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</si>
  <si>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</si>
  <si>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</si>
  <si>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</si>
  <si>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</si>
  <si>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</si>
  <si>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</si>
  <si>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</si>
  <si>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</si>
  <si>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</si>
  <si>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</si>
  <si>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CONFIGURAÇÕES</t>
  </si>
  <si>
    <t>Salário</t>
  </si>
  <si>
    <t>Rendimento Carteira</t>
  </si>
  <si>
    <t>Sugestão de Investimento</t>
  </si>
  <si>
    <t>PERFIL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</si>
  <si>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</si>
  <si>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</si>
  <si>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</si>
  <si>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</si>
  <si>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</si>
  <si>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</si>
  <si>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</si>
  <si>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</si>
  <si>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</si>
  <si>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</si>
  <si>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</si>
  <si>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</si>
  <si>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Agressivo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</si>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</sst>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 Light"/>
      <scheme val="maj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33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/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rgb="FF000000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rgb="FF000000"/>
      </bottom>
      <diagonal/>
    </border>
    <border>
      <left style="thin">
        <color theme="0" tint="-0.249977111117893"/>
      </left>
      <right style="medium">
        <color rgb="FF000000"/>
      </right>
      <top style="thin">
        <color theme="0" tint="-0.249977111117893"/>
      </top>
      <bottom style="medium">
        <color rgb="FF000000"/>
      </bottom>
      <diagonal/>
    </border>
    <border>
      <left style="medium">
        <color rgb="FF000000"/>
      </left>
      <right style="thin">
        <color theme="0" tint="-0.249977111117893"/>
      </right>
      <top style="medium">
        <color rgb="FF000000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rgb="FF000000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 style="medium">
        <color rgb="FF000000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/>
    <xf numFmtId="165" fontId="0" fillId="0" borderId="4" xfId="0" applyNumberForma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0" fillId="0" borderId="0" xfId="0" applyBorder="1"/>
    <xf numFmtId="0" fontId="0" fillId="3" borderId="8" xfId="0" applyFill="1" applyBorder="1"/>
    <xf numFmtId="165" fontId="0" fillId="0" borderId="1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0" fontId="0" fillId="0" borderId="15" xfId="0" applyNumberFormat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8" fontId="0" fillId="3" borderId="18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" xfId="0" applyBorder="1"/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0" borderId="0" xfId="0" applyFont="1"/>
    <xf numFmtId="165" fontId="0" fillId="3" borderId="14" xfId="0" applyNumberFormat="1" applyFill="1" applyBorder="1"/>
    <xf numFmtId="165" fontId="0" fillId="3" borderId="15" xfId="0" applyNumberFormat="1" applyFill="1" applyBorder="1"/>
    <xf numFmtId="165" fontId="0" fillId="3" borderId="17" xfId="0" applyNumberFormat="1" applyFill="1" applyBorder="1"/>
    <xf numFmtId="165" fontId="0" fillId="3" borderId="18" xfId="0" applyNumberFormat="1" applyFill="1" applyBorder="1"/>
    <xf numFmtId="0" fontId="0" fillId="3" borderId="13" xfId="0" applyFill="1" applyBorder="1" applyAlignment="1">
      <alignment horizontal="left" indent="1"/>
    </xf>
    <xf numFmtId="0" fontId="0" fillId="3" borderId="16" xfId="0" applyFill="1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3" fillId="3" borderId="13" xfId="0" applyFont="1" applyFill="1" applyBorder="1" applyAlignment="1">
      <alignment horizontal="left" indent="1"/>
    </xf>
    <xf numFmtId="0" fontId="3" fillId="3" borderId="14" xfId="0" applyFont="1" applyFill="1" applyBorder="1" applyAlignment="1">
      <alignment horizontal="left" indent="1"/>
    </xf>
    <xf numFmtId="0" fontId="3" fillId="3" borderId="16" xfId="0" applyFont="1" applyFill="1" applyBorder="1" applyAlignment="1">
      <alignment horizontal="left" indent="1"/>
    </xf>
    <xf numFmtId="0" fontId="3" fillId="3" borderId="17" xfId="0" applyFont="1" applyFill="1" applyBorder="1" applyAlignment="1">
      <alignment horizontal="left" indent="1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left" indent="1"/>
    </xf>
    <xf numFmtId="0" fontId="0" fillId="0" borderId="17" xfId="0" applyBorder="1" applyAlignment="1">
      <alignment horizontal="left" indent="1"/>
    </xf>
    <xf numFmtId="165" fontId="0" fillId="0" borderId="18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3" xfId="0" applyBorder="1" applyAlignment="1">
      <alignment horizontal="left" indent="1"/>
    </xf>
    <xf numFmtId="0" fontId="1" fillId="3" borderId="5" xfId="0" applyFont="1" applyFill="1" applyBorder="1" applyAlignment="1">
      <alignment horizontal="left" indent="1"/>
    </xf>
    <xf numFmtId="0" fontId="0" fillId="0" borderId="0" xfId="0" applyBorder="1" applyAlignment="1">
      <alignment horizontal="left"/>
    </xf>
    <xf numFmtId="9" fontId="0" fillId="0" borderId="0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165" fontId="1" fillId="3" borderId="6" xfId="0" applyNumberFormat="1" applyFont="1" applyFill="1" applyBorder="1" applyAlignment="1">
      <alignment horizontal="center"/>
    </xf>
    <xf numFmtId="165" fontId="1" fillId="3" borderId="4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left" indent="1"/>
    </xf>
    <xf numFmtId="0" fontId="1" fillId="3" borderId="0" xfId="0" applyFont="1" applyFill="1" applyBorder="1" applyAlignment="1">
      <alignment horizontal="left" indent="1"/>
    </xf>
    <xf numFmtId="0" fontId="1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APP!$C$33:$C$38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B9-4222-9475-B720F2C4173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APP!$B$33:$B$38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APP!$D$33:$D$38</c:f>
              <c:numCache>
                <c:formatCode>"R$"\ #,##0.00</c:formatCode>
                <c:ptCount val="6"/>
                <c:pt idx="0">
                  <c:v>100</c:v>
                </c:pt>
                <c:pt idx="1">
                  <c:v>20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B9-4222-9475-B720F2C41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xlsrvcd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76200</xdr:rowOff>
    </xdr:from>
    <xdr:to>
      <xdr:col>4</xdr:col>
      <xdr:colOff>9525</xdr:colOff>
      <xdr:row>8</xdr:row>
      <xdr:rowOff>85725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390C56-B91A-DA23-B334-72FAA6888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8125" y="76200"/>
          <a:ext cx="4714875" cy="1533525"/>
        </a:xfrm>
        <a:prstGeom prst="rect">
          <a:avLst/>
        </a:prstGeom>
      </xdr:spPr>
    </xdr:pic>
    <xdr:clientData/>
  </xdr:twoCellAnchor>
  <xdr:twoCellAnchor>
    <xdr:from>
      <xdr:col>1</xdr:col>
      <xdr:colOff>209550</xdr:colOff>
      <xdr:row>3</xdr:row>
      <xdr:rowOff>95250</xdr:rowOff>
    </xdr:from>
    <xdr:to>
      <xdr:col>2</xdr:col>
      <xdr:colOff>438150</xdr:colOff>
      <xdr:row>6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E54A06-C67C-9A2B-1C3D-F07553A88165}"/>
            </a:ext>
            <a:ext uri="{147F2762-F138-4A5C-976F-8EAC2B608ADB}">
              <a16:predDERef xmlns:a16="http://schemas.microsoft.com/office/drawing/2014/main" pred="{74390C56-B91A-DA23-B334-72FAA6888A97}"/>
            </a:ext>
          </a:extLst>
        </xdr:cNvPr>
        <xdr:cNvSpPr txBox="1"/>
      </xdr:nvSpPr>
      <xdr:spPr>
        <a:xfrm>
          <a:off x="323850" y="666750"/>
          <a:ext cx="2066925" cy="5715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800" b="0" i="0">
              <a:latin typeface="Franklin Gothic"/>
            </a:rPr>
            <a:t>ISA INVEST</a:t>
          </a:r>
        </a:p>
      </xdr:txBody>
    </xdr:sp>
    <xdr:clientData/>
  </xdr:twoCellAnchor>
  <xdr:twoCellAnchor>
    <xdr:from>
      <xdr:col>0</xdr:col>
      <xdr:colOff>228600</xdr:colOff>
      <xdr:row>39</xdr:row>
      <xdr:rowOff>57150</xdr:rowOff>
    </xdr:from>
    <xdr:to>
      <xdr:col>4</xdr:col>
      <xdr:colOff>9525</xdr:colOff>
      <xdr:row>54</xdr:row>
      <xdr:rowOff>57150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A5E9E5-D3C9-66E1-98F8-FF3C4FADF8D1}"/>
            </a:ext>
            <a:ext uri="{147F2762-F138-4A5C-976F-8EAC2B608ADB}">
              <a16:predDERef xmlns:a16="http://schemas.microsoft.com/office/drawing/2014/main" pred="{84E54A06-C67C-9A2B-1C3D-F07553A88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D39"/>
  <sheetViews>
    <sheetView showGridLines="0" showRowColHeaders="0" tabSelected="1" topLeftCell="A29" workbookViewId="0">
      <selection activeCell="D29" sqref="D29"/>
    </sheetView>
  </sheetViews>
  <sheetFormatPr defaultColWidth="9.140625" defaultRowHeight="15"/>
  <cols>
    <col min="1" max="1" width="3.7109375" customWidth="1"/>
    <col min="2" max="2" width="27.5703125" customWidth="1"/>
    <col min="3" max="3" width="21.85546875" customWidth="1"/>
    <col min="4" max="4" width="21" customWidth="1"/>
  </cols>
  <sheetData>
    <row r="10" spans="2:4" ht="25.5" customHeight="1">
      <c r="B10" s="1" t="s">
        <v>0</v>
      </c>
      <c r="C10" s="5"/>
      <c r="D10" s="2"/>
    </row>
    <row r="11" spans="2:4">
      <c r="B11" s="25" t="s">
        <v>1</v>
      </c>
      <c r="C11" s="26"/>
      <c r="D11" s="8">
        <v>500</v>
      </c>
    </row>
    <row r="12" spans="2:4">
      <c r="B12" s="27" t="s">
        <v>2</v>
      </c>
      <c r="C12" s="28"/>
      <c r="D12" s="9">
        <v>5</v>
      </c>
    </row>
    <row r="13" spans="2:4">
      <c r="B13" s="27" t="s">
        <v>3</v>
      </c>
      <c r="C13" s="28"/>
      <c r="D13" s="10">
        <v>1.0789999999999999E-2</v>
      </c>
    </row>
    <row r="14" spans="2:4">
      <c r="B14" s="29" t="s">
        <v>4</v>
      </c>
      <c r="C14" s="30"/>
      <c r="D14" s="11" cm="1">
        <f t="array" ref="D14">FV(taxa_mensal,qtd_anos*12,aporte*-1)</f>
        <v>41888.456999243819</v>
      </c>
    </row>
    <row r="15" spans="2:4">
      <c r="B15" s="31" t="s">
        <v>5</v>
      </c>
      <c r="C15" s="32"/>
      <c r="D15" s="12">
        <f>D14*1%</f>
        <v>418.88456999243817</v>
      </c>
    </row>
    <row r="16" spans="2:4">
      <c r="B16" s="6"/>
    </row>
    <row r="17" spans="1:4" ht="24.75" customHeight="1">
      <c r="B17" s="15" t="s">
        <v>6</v>
      </c>
      <c r="C17" s="16"/>
      <c r="D17" s="17" t="s">
        <v>7</v>
      </c>
    </row>
    <row r="18" spans="1:4">
      <c r="A18" s="18">
        <v>2</v>
      </c>
      <c r="B18" s="23" t="s">
        <v>8</v>
      </c>
      <c r="C18" s="19">
        <f>FV($D$13,$A18*12,$D$11*-1)</f>
        <v>13613.813648822608</v>
      </c>
      <c r="D18" s="20">
        <f>$C18*1%</f>
        <v>136.13813648822608</v>
      </c>
    </row>
    <row r="19" spans="1:4">
      <c r="A19" s="18">
        <v>5</v>
      </c>
      <c r="B19" s="23" t="s">
        <v>9</v>
      </c>
      <c r="C19" s="19">
        <f t="shared" ref="C19:C22" si="0">FV($D$13,$A19*12,$D$11*-1)</f>
        <v>41888.456999243819</v>
      </c>
      <c r="D19" s="20">
        <f t="shared" ref="D19:D22" si="1">$C19*1%</f>
        <v>418.88456999243817</v>
      </c>
    </row>
    <row r="20" spans="1:4">
      <c r="A20" s="18">
        <v>10</v>
      </c>
      <c r="B20" s="23" t="s">
        <v>10</v>
      </c>
      <c r="C20" s="19">
        <f t="shared" si="0"/>
        <v>121642.1062650861</v>
      </c>
      <c r="D20" s="20">
        <f t="shared" si="1"/>
        <v>1216.4210626508609</v>
      </c>
    </row>
    <row r="21" spans="1:4">
      <c r="A21" s="18">
        <v>20</v>
      </c>
      <c r="B21" s="23" t="s">
        <v>11</v>
      </c>
      <c r="C21" s="19">
        <f t="shared" si="0"/>
        <v>562599.20004854025</v>
      </c>
      <c r="D21" s="20">
        <f t="shared" si="1"/>
        <v>5625.992000485403</v>
      </c>
    </row>
    <row r="22" spans="1:4">
      <c r="A22" s="18">
        <v>30</v>
      </c>
      <c r="B22" s="24" t="s">
        <v>12</v>
      </c>
      <c r="C22" s="21">
        <f t="shared" si="0"/>
        <v>2161084.8275023573</v>
      </c>
      <c r="D22" s="22">
        <f t="shared" si="1"/>
        <v>21610.848275023574</v>
      </c>
    </row>
    <row r="24" spans="1:4" ht="24" customHeight="1">
      <c r="B24" s="33" t="s">
        <v>13</v>
      </c>
      <c r="C24" s="34"/>
      <c r="D24" s="35"/>
    </row>
    <row r="25" spans="1:4">
      <c r="B25" s="27" t="s">
        <v>14</v>
      </c>
      <c r="C25" s="28"/>
      <c r="D25" s="36">
        <v>5000</v>
      </c>
    </row>
    <row r="26" spans="1:4">
      <c r="B26" s="27" t="s">
        <v>15</v>
      </c>
      <c r="C26" s="28"/>
      <c r="D26" s="37">
        <v>0.01</v>
      </c>
    </row>
    <row r="27" spans="1:4">
      <c r="B27" s="38" t="s">
        <v>16</v>
      </c>
      <c r="C27" s="39"/>
      <c r="D27" s="40" cm="1">
        <f t="array" ref="D27">salario*30%</f>
        <v>1500</v>
      </c>
    </row>
    <row r="29" spans="1:4" ht="23.25" customHeight="1">
      <c r="B29" s="41" t="s">
        <v>17</v>
      </c>
      <c r="C29" s="42"/>
      <c r="D29" s="57" t="s">
        <v>18</v>
      </c>
    </row>
    <row r="30" spans="1:4">
      <c r="B30" s="55" t="s">
        <v>19</v>
      </c>
      <c r="C30" s="56"/>
      <c r="D30" s="54">
        <v>200</v>
      </c>
    </row>
    <row r="31" spans="1:4">
      <c r="B31" s="3"/>
      <c r="C31" s="6"/>
      <c r="D31" s="14"/>
    </row>
    <row r="32" spans="1:4">
      <c r="B32" s="43" t="s">
        <v>20</v>
      </c>
      <c r="C32" s="44" t="s">
        <v>21</v>
      </c>
      <c r="D32" s="45" t="s">
        <v>22</v>
      </c>
    </row>
    <row r="33" spans="2:4">
      <c r="B33" s="46" t="s">
        <v>23</v>
      </c>
      <c r="C33" s="49">
        <f>VLOOKUP($D$29&amp;"-"&amp;$B33,Report!$A$1:$D$18,4,FALSE)</f>
        <v>0.5</v>
      </c>
      <c r="D33" s="4">
        <f>C33*$D$30</f>
        <v>100</v>
      </c>
    </row>
    <row r="34" spans="2:4">
      <c r="B34" s="46" t="s">
        <v>24</v>
      </c>
      <c r="C34" s="49">
        <f>VLOOKUP($D$29&amp;"-"&amp;$B34,Report!$A$1:$D$18,4,FALSE)</f>
        <v>0.1</v>
      </c>
      <c r="D34" s="4">
        <f t="shared" ref="D34:D38" si="2">C34*$D$30</f>
        <v>20</v>
      </c>
    </row>
    <row r="35" spans="2:4">
      <c r="B35" s="46" t="s">
        <v>25</v>
      </c>
      <c r="C35" s="49">
        <f>VLOOKUP($D$29&amp;"-"&amp;$B35,Report!$A$1:$D$18,4,FALSE)</f>
        <v>0.1</v>
      </c>
      <c r="D35" s="4">
        <f t="shared" si="2"/>
        <v>20</v>
      </c>
    </row>
    <row r="36" spans="2:4">
      <c r="B36" s="46" t="s">
        <v>26</v>
      </c>
      <c r="C36" s="49">
        <f>VLOOKUP($D$29&amp;"-"&amp;$B36,Report!$A$1:$D$18,4,FALSE)</f>
        <v>0</v>
      </c>
      <c r="D36" s="4">
        <f t="shared" si="2"/>
        <v>0</v>
      </c>
    </row>
    <row r="37" spans="2:4">
      <c r="B37" s="46" t="s">
        <v>27</v>
      </c>
      <c r="C37" s="49">
        <f>VLOOKUP($D$29&amp;"-"&amp;$B37,Report!$A$1:$D$18,4,FALSE)</f>
        <v>0</v>
      </c>
      <c r="D37" s="4">
        <f t="shared" si="2"/>
        <v>0</v>
      </c>
    </row>
    <row r="38" spans="2:4">
      <c r="B38" s="46" t="s">
        <v>28</v>
      </c>
      <c r="C38" s="49">
        <f>VLOOKUP($D$29&amp;"-"&amp;$B38,Report!$A$1:$D$18,4,FALSE)</f>
        <v>0.3</v>
      </c>
      <c r="D38" s="4">
        <f t="shared" si="2"/>
        <v>60</v>
      </c>
    </row>
    <row r="39" spans="2:4">
      <c r="B39" s="47" t="s">
        <v>29</v>
      </c>
      <c r="C39" s="7"/>
      <c r="D39" s="53">
        <f>SUM(D33:D38)</f>
        <v>200</v>
      </c>
    </row>
  </sheetData>
  <mergeCells count="13">
    <mergeCell ref="B26:C26"/>
    <mergeCell ref="B27:C27"/>
    <mergeCell ref="B29:C29"/>
    <mergeCell ref="B30:C30"/>
    <mergeCell ref="B14:C14"/>
    <mergeCell ref="B15:C15"/>
    <mergeCell ref="B17:C17"/>
    <mergeCell ref="B24:D24"/>
    <mergeCell ref="B25:C25"/>
    <mergeCell ref="B10:D10"/>
    <mergeCell ref="B11:C11"/>
    <mergeCell ref="B12:C12"/>
    <mergeCell ref="B13:C13"/>
  </mergeCells>
  <dataValidations count="1">
    <dataValidation type="list" allowBlank="1" showInputMessage="1" showErrorMessage="1" promptTitle="Escolha um perfil" sqref="D29" xr:uid="{13A057A8-591E-4DDA-8DCD-1017657001BD}">
      <formula1>"Agressivo,Conservador,Moderado"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4E6D-683D-49A9-A912-0348E1711CE9}">
  <dimension ref="A1:D18"/>
  <sheetViews>
    <sheetView workbookViewId="0">
      <selection activeCell="C22" sqref="C22"/>
    </sheetView>
  </sheetViews>
  <sheetFormatPr defaultRowHeight="15"/>
  <cols>
    <col min="1" max="1" width="29.5703125" bestFit="1" customWidth="1"/>
    <col min="2" max="2" width="17.7109375" customWidth="1"/>
    <col min="3" max="3" width="19.7109375" customWidth="1"/>
    <col min="4" max="4" width="13.28515625" customWidth="1"/>
  </cols>
  <sheetData>
    <row r="1" spans="1:4">
      <c r="A1" s="48" t="str">
        <f>$B1&amp;"-"&amp;$C1</f>
        <v>Agressivo-Papel</v>
      </c>
      <c r="B1" s="13" t="s">
        <v>30</v>
      </c>
      <c r="C1" s="13" t="s">
        <v>23</v>
      </c>
      <c r="D1" s="49">
        <v>0.5</v>
      </c>
    </row>
    <row r="2" spans="1:4">
      <c r="A2" s="48" t="str">
        <f t="shared" ref="A2:A18" si="0">$B2&amp;"-"&amp;$C2</f>
        <v>Agressivo-Tijolo</v>
      </c>
      <c r="B2" s="13" t="s">
        <v>30</v>
      </c>
      <c r="C2" s="13" t="s">
        <v>24</v>
      </c>
      <c r="D2" s="49">
        <v>0.1</v>
      </c>
    </row>
    <row r="3" spans="1:4">
      <c r="A3" s="48" t="str">
        <f t="shared" si="0"/>
        <v>Agressivo-Híbridos</v>
      </c>
      <c r="B3" s="13" t="s">
        <v>30</v>
      </c>
      <c r="C3" s="13" t="s">
        <v>25</v>
      </c>
      <c r="D3" s="49">
        <v>0.05</v>
      </c>
    </row>
    <row r="4" spans="1:4">
      <c r="A4" s="48" t="str">
        <f t="shared" si="0"/>
        <v>Agressivo-FOFs</v>
      </c>
      <c r="B4" s="13" t="s">
        <v>30</v>
      </c>
      <c r="C4" s="13" t="s">
        <v>26</v>
      </c>
      <c r="D4" s="49">
        <v>0.05</v>
      </c>
    </row>
    <row r="5" spans="1:4">
      <c r="A5" s="48" t="str">
        <f t="shared" si="0"/>
        <v>Agressivo-Desenvolvimento</v>
      </c>
      <c r="B5" s="13" t="s">
        <v>30</v>
      </c>
      <c r="C5" s="13" t="s">
        <v>27</v>
      </c>
      <c r="D5" s="49">
        <v>0.2</v>
      </c>
    </row>
    <row r="6" spans="1:4">
      <c r="A6" s="50" t="str">
        <f t="shared" si="0"/>
        <v>Agressivo-Hotelarias</v>
      </c>
      <c r="B6" s="51" t="s">
        <v>30</v>
      </c>
      <c r="C6" s="51" t="s">
        <v>28</v>
      </c>
      <c r="D6" s="52">
        <v>0.1</v>
      </c>
    </row>
    <row r="7" spans="1:4">
      <c r="A7" s="48" t="str">
        <f t="shared" si="0"/>
        <v>Conservador-Papel</v>
      </c>
      <c r="B7" s="13" t="s">
        <v>18</v>
      </c>
      <c r="C7" s="13" t="s">
        <v>23</v>
      </c>
      <c r="D7" s="49">
        <v>0.5</v>
      </c>
    </row>
    <row r="8" spans="1:4">
      <c r="A8" s="48" t="str">
        <f t="shared" si="0"/>
        <v>Conservador-Tijolo</v>
      </c>
      <c r="B8" s="13" t="s">
        <v>18</v>
      </c>
      <c r="C8" s="13" t="s">
        <v>24</v>
      </c>
      <c r="D8" s="49">
        <v>0.1</v>
      </c>
    </row>
    <row r="9" spans="1:4">
      <c r="A9" s="48" t="str">
        <f t="shared" si="0"/>
        <v>Conservador-Híbridos</v>
      </c>
      <c r="B9" s="13" t="s">
        <v>18</v>
      </c>
      <c r="C9" s="13" t="s">
        <v>25</v>
      </c>
      <c r="D9" s="49">
        <v>0.1</v>
      </c>
    </row>
    <row r="10" spans="1:4">
      <c r="A10" s="48" t="str">
        <f t="shared" si="0"/>
        <v>Conservador-FOFs</v>
      </c>
      <c r="B10" s="13" t="s">
        <v>18</v>
      </c>
      <c r="C10" s="13" t="s">
        <v>26</v>
      </c>
      <c r="D10" s="49">
        <v>0</v>
      </c>
    </row>
    <row r="11" spans="1:4">
      <c r="A11" s="48" t="str">
        <f t="shared" si="0"/>
        <v>Conservador-Desenvolvimento</v>
      </c>
      <c r="B11" s="13" t="s">
        <v>18</v>
      </c>
      <c r="C11" s="13" t="s">
        <v>27</v>
      </c>
      <c r="D11" s="49">
        <v>0</v>
      </c>
    </row>
    <row r="12" spans="1:4">
      <c r="A12" s="50" t="str">
        <f t="shared" si="0"/>
        <v>Conservador-Hotelarias</v>
      </c>
      <c r="B12" s="51" t="s">
        <v>18</v>
      </c>
      <c r="C12" s="51" t="s">
        <v>28</v>
      </c>
      <c r="D12" s="52">
        <v>0.3</v>
      </c>
    </row>
    <row r="13" spans="1:4">
      <c r="A13" s="48" t="str">
        <f t="shared" si="0"/>
        <v>Moderado-Papel</v>
      </c>
      <c r="B13" s="13" t="s">
        <v>31</v>
      </c>
      <c r="C13" s="13" t="s">
        <v>23</v>
      </c>
      <c r="D13" s="49">
        <v>0.32</v>
      </c>
    </row>
    <row r="14" spans="1:4">
      <c r="A14" s="48" t="str">
        <f t="shared" si="0"/>
        <v>Moderado-Tijolo</v>
      </c>
      <c r="B14" s="13" t="s">
        <v>31</v>
      </c>
      <c r="C14" s="13" t="s">
        <v>24</v>
      </c>
      <c r="D14" s="49">
        <v>0.3</v>
      </c>
    </row>
    <row r="15" spans="1:4">
      <c r="A15" s="48" t="str">
        <f t="shared" si="0"/>
        <v>Moderado-Híbridos</v>
      </c>
      <c r="B15" s="13" t="s">
        <v>31</v>
      </c>
      <c r="C15" s="13" t="s">
        <v>25</v>
      </c>
      <c r="D15" s="49">
        <v>0.08</v>
      </c>
    </row>
    <row r="16" spans="1:4">
      <c r="A16" s="48" t="str">
        <f t="shared" si="0"/>
        <v>Moderado-FOFs</v>
      </c>
      <c r="B16" s="13" t="s">
        <v>31</v>
      </c>
      <c r="C16" s="13" t="s">
        <v>26</v>
      </c>
      <c r="D16" s="49">
        <v>0.1</v>
      </c>
    </row>
    <row r="17" spans="1:4">
      <c r="A17" s="48" t="str">
        <f t="shared" si="0"/>
        <v>Moderado-Desenvolvimento</v>
      </c>
      <c r="B17" s="13" t="s">
        <v>31</v>
      </c>
      <c r="C17" s="13" t="s">
        <v>27</v>
      </c>
      <c r="D17" s="49">
        <v>0.1</v>
      </c>
    </row>
    <row r="18" spans="1:4">
      <c r="A18" s="50" t="str">
        <f t="shared" si="0"/>
        <v>Moderado-Hotelarias</v>
      </c>
      <c r="B18" s="51" t="s">
        <v>31</v>
      </c>
      <c r="C18" s="51" t="s">
        <v>28</v>
      </c>
      <c r="D18" s="5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2026-10-14T00:10:27Z</dcterms:created>
  <dcterms:modified xsi:type="dcterms:W3CDTF">2026-10-14T02:05:39Z</dcterms:modified>
  <cp:category/>
  <cp:contentStatus/>
</cp:coreProperties>
</file>